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:\Desarrollos\MyPython\Tkinter\ArkConInv\Docs\"/>
    </mc:Choice>
  </mc:AlternateContent>
  <xr:revisionPtr revIDLastSave="0" documentId="13_ncr:1_{93788C65-7BDE-47D7-94C3-F57A51C3F40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5" i="1" l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74" i="1"/>
</calcChain>
</file>

<file path=xl/sharedStrings.xml><?xml version="1.0" encoding="utf-8"?>
<sst xmlns="http://schemas.openxmlformats.org/spreadsheetml/2006/main" count="369" uniqueCount="168">
  <si>
    <t>Source Column Name</t>
  </si>
  <si>
    <t>Source Data Type</t>
  </si>
  <si>
    <t>Destination Column Name</t>
  </si>
  <si>
    <t>Destination Data Type (SQLite)</t>
  </si>
  <si>
    <t>FI_CODIGO</t>
  </si>
  <si>
    <t>VARCHAR(30) NOT NULL PRIMARY KEY</t>
  </si>
  <si>
    <t>FI_DESCRIPCION</t>
  </si>
  <si>
    <t>VARCHAR(40) NOT NULL</t>
  </si>
  <si>
    <t>FI_CATEGORIA</t>
  </si>
  <si>
    <t>VARCHAR(30) NOT NULL</t>
  </si>
  <si>
    <t>FI_DESCRIPCIONDETALLADA</t>
  </si>
  <si>
    <t>LONGVARCHAR</t>
  </si>
  <si>
    <t>FI_VENDEDOR</t>
  </si>
  <si>
    <t>VARCHAR(30)</t>
  </si>
  <si>
    <t>FI_STATUS</t>
  </si>
  <si>
    <t>BOOLEAN</t>
  </si>
  <si>
    <t>FI_UNIDAD</t>
  </si>
  <si>
    <t>FI_TIPOCODIGOBARRA</t>
  </si>
  <si>
    <t>SMALLINT</t>
  </si>
  <si>
    <t>FI_IMAGEN</t>
  </si>
  <si>
    <t>LONGVARBINARY</t>
  </si>
  <si>
    <t>FI_SUSTITUTO1</t>
  </si>
  <si>
    <t>FI_SUSTITUTO2</t>
  </si>
  <si>
    <t>FI_SUSTITUTO3</t>
  </si>
  <si>
    <t>FI_REFERENCIA</t>
  </si>
  <si>
    <t>FI_MARCA</t>
  </si>
  <si>
    <t>FI_MONEDA</t>
  </si>
  <si>
    <t>FI_FACTORCONVERSION</t>
  </si>
  <si>
    <t>FLOAT</t>
  </si>
  <si>
    <t>FI_UNDEXISTENCIA2</t>
  </si>
  <si>
    <t>FI_PUESTO</t>
  </si>
  <si>
    <t>FI_SUJETOACOMISION</t>
  </si>
  <si>
    <t>FI_MONTOCOMISION</t>
  </si>
  <si>
    <t>FI_CUENTASCONTABLES</t>
  </si>
  <si>
    <t>FI_PESOPRODUCTO</t>
  </si>
  <si>
    <t>FI_DIASDEREPOSICION</t>
  </si>
  <si>
    <t>FI_PRESENTACION</t>
  </si>
  <si>
    <t>FI_GARANTIA</t>
  </si>
  <si>
    <t>AUTOINC</t>
  </si>
  <si>
    <t>FI_SUSTITUTO4</t>
  </si>
  <si>
    <t>FI_SUSTITUTO5</t>
  </si>
  <si>
    <t>FI_MONTOCOMISIONP</t>
  </si>
  <si>
    <t>FI_DEPOSITOS</t>
  </si>
  <si>
    <t>FI_OFERTAS</t>
  </si>
  <si>
    <t>FI_VENCIMIENTOS</t>
  </si>
  <si>
    <t>FI_CLASIFICACION</t>
  </si>
  <si>
    <t>FI_MANEJOINVENTARIO</t>
  </si>
  <si>
    <t>FI_SERIALES</t>
  </si>
  <si>
    <t>FI_CREACION</t>
  </si>
  <si>
    <t>DATE</t>
  </si>
  <si>
    <t>FI_INVENTARIOINICIALUNIDADES</t>
  </si>
  <si>
    <t>FI_INVENTARIOINICIALCOSTO</t>
  </si>
  <si>
    <t>FI_CAPACIDAD</t>
  </si>
  <si>
    <t>FI_EXISTDECIMAL</t>
  </si>
  <si>
    <t>FI_COMPUESTOSERIALES</t>
  </si>
  <si>
    <t>FI_VENDEDORFIJO</t>
  </si>
  <si>
    <t>FI_VENDEDORFIJOACTIVO</t>
  </si>
  <si>
    <t>FI_MODELO</t>
  </si>
  <si>
    <t>VARCHAR(50)</t>
  </si>
  <si>
    <t>FI_SUBCATEGORIA</t>
  </si>
  <si>
    <t>FI_PESOAFECTACOSTO</t>
  </si>
  <si>
    <t>FI_IMPRESORA</t>
  </si>
  <si>
    <t>BASE_AUTOINCREMENT</t>
  </si>
  <si>
    <t>FI_ZEXTRA1</t>
  </si>
  <si>
    <t>FI_ZEXTRA2</t>
  </si>
  <si>
    <t>FI_ZEXTRA3</t>
  </si>
  <si>
    <t>FI_ZEXTRA4</t>
  </si>
  <si>
    <t>FI_ZEXTRA5</t>
  </si>
  <si>
    <t>FI_ZEXTRA6</t>
  </si>
  <si>
    <t>FI_ZEXTRA1VENTA</t>
  </si>
  <si>
    <t>FI_ZEXTRA2VENTA</t>
  </si>
  <si>
    <t>FI_ZEXTRA3VENTA</t>
  </si>
  <si>
    <t>FI_ZEXTRA4VENTA</t>
  </si>
  <si>
    <t>FI_ZEXTRA5VENTA</t>
  </si>
  <si>
    <t>FI_ZEXTRA6VENTA</t>
  </si>
  <si>
    <t>FI_ZEXTRA1VENTAMOD</t>
  </si>
  <si>
    <t>FI_ZEXTRA2VENTAMOD</t>
  </si>
  <si>
    <t>FI_ZEXTRA3VENTAMOD</t>
  </si>
  <si>
    <t>FI_ZEXTRA4VENTAMOD</t>
  </si>
  <si>
    <t>FI_ZEXTRA5VENTAMOD</t>
  </si>
  <si>
    <t>FI_ZEXTRA6VENTAMOD</t>
  </si>
  <si>
    <t>FI_INTERNET</t>
  </si>
  <si>
    <t>FI_BALANZA</t>
  </si>
  <si>
    <t>FI_CODIGOBARRA</t>
  </si>
  <si>
    <t>FI_PRECIOLISTA</t>
  </si>
  <si>
    <t>FI_APROVECHAPORC</t>
  </si>
  <si>
    <t>FI_ARANCEL</t>
  </si>
  <si>
    <t>FI_POSENTREGA</t>
  </si>
  <si>
    <t>FI_CARGOSEXTRAS</t>
  </si>
  <si>
    <t>VARCHAR(250)</t>
  </si>
  <si>
    <t>inv_codigo</t>
  </si>
  <si>
    <t>inv_descripcion</t>
  </si>
  <si>
    <t>inv_categoria</t>
  </si>
  <si>
    <t>inv_descripciondetallada</t>
  </si>
  <si>
    <t>inv_vendedor</t>
  </si>
  <si>
    <t>inv_status</t>
  </si>
  <si>
    <t>inv_unidad</t>
  </si>
  <si>
    <t>inv_tipocodigobarra</t>
  </si>
  <si>
    <t>inv_imagen</t>
  </si>
  <si>
    <t>inv_sustituto1</t>
  </si>
  <si>
    <t>inv_sustituto2</t>
  </si>
  <si>
    <t>inv_sustituto3</t>
  </si>
  <si>
    <t>inv_referencia</t>
  </si>
  <si>
    <t>inv_marca</t>
  </si>
  <si>
    <t>inv_moneda</t>
  </si>
  <si>
    <t>inv_factorconversion</t>
  </si>
  <si>
    <t>inv_undexistencia2</t>
  </si>
  <si>
    <t>inv_puesto</t>
  </si>
  <si>
    <t>inv_sujetoacomision</t>
  </si>
  <si>
    <t>inv_montocomision</t>
  </si>
  <si>
    <t>inv_cuentascontables</t>
  </si>
  <si>
    <t>inv_pesoproducto</t>
  </si>
  <si>
    <t>inv_diasdereposicion</t>
  </si>
  <si>
    <t>inv_presentacion</t>
  </si>
  <si>
    <t>inv_garantia</t>
  </si>
  <si>
    <t>inv_sustituto4</t>
  </si>
  <si>
    <t>inv_sustituto5</t>
  </si>
  <si>
    <t>inv_montocomisionp</t>
  </si>
  <si>
    <t>inv_depositos</t>
  </si>
  <si>
    <t>inv_ofertas</t>
  </si>
  <si>
    <t>inv_vencimientos</t>
  </si>
  <si>
    <t>inv_clasificacion</t>
  </si>
  <si>
    <t>inv_manejoinventario</t>
  </si>
  <si>
    <t>inv_seriales</t>
  </si>
  <si>
    <t>inv_creacion</t>
  </si>
  <si>
    <t>inv_inventarioinicialunidades</t>
  </si>
  <si>
    <t>inv_inventarioinicialcosto</t>
  </si>
  <si>
    <t>inv_capacidad</t>
  </si>
  <si>
    <t>inv_existdecimal</t>
  </si>
  <si>
    <t>inv_compuestoseriales</t>
  </si>
  <si>
    <t>inv_vendedorfijo</t>
  </si>
  <si>
    <t>inv_vendedorfijoactivo</t>
  </si>
  <si>
    <t>inv_modelo</t>
  </si>
  <si>
    <t>inv_subcategoria</t>
  </si>
  <si>
    <t>inv_pesoafectacosto</t>
  </si>
  <si>
    <t>inv_impresora</t>
  </si>
  <si>
    <t>base_autoincrement</t>
  </si>
  <si>
    <t>inv_zextra1</t>
  </si>
  <si>
    <t>inv_zextra2</t>
  </si>
  <si>
    <t>inv_zextra3</t>
  </si>
  <si>
    <t>inv_zextra4</t>
  </si>
  <si>
    <t>inv_zextra5</t>
  </si>
  <si>
    <t>inv_zextra6</t>
  </si>
  <si>
    <t>inv_zextra1venta</t>
  </si>
  <si>
    <t>inv_zextra2venta</t>
  </si>
  <si>
    <t>inv_zextra3venta</t>
  </si>
  <si>
    <t>inv_zextra4venta</t>
  </si>
  <si>
    <t>inv_zextra5venta</t>
  </si>
  <si>
    <t>inv_zextra6venta</t>
  </si>
  <si>
    <t>inv_zextra1ventamod</t>
  </si>
  <si>
    <t>inv_zextra2ventamod</t>
  </si>
  <si>
    <t>inv_zextra3ventamod</t>
  </si>
  <si>
    <t>inv_zextra4ventamod</t>
  </si>
  <si>
    <t>inv_zextra5ventamod</t>
  </si>
  <si>
    <t>inv_zextra6ventamod</t>
  </si>
  <si>
    <t>inv_internet</t>
  </si>
  <si>
    <t>inv_balanza</t>
  </si>
  <si>
    <t>inv_codigobarra</t>
  </si>
  <si>
    <t>inv_preciolista</t>
  </si>
  <si>
    <t>inv_aprovechaporc</t>
  </si>
  <si>
    <t>inv_arancel</t>
  </si>
  <si>
    <t>inv_posentrega</t>
  </si>
  <si>
    <t>inv_cargosextras</t>
  </si>
  <si>
    <t>,</t>
  </si>
  <si>
    <t>INTEGER,</t>
  </si>
  <si>
    <t>TEXT,</t>
  </si>
  <si>
    <t>BLOB,</t>
  </si>
  <si>
    <t>REAL,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</si>
</sst>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"/>
  <sheetViews>
    <sheetView tabSelected="1" workbookViewId="0">
      <selection activeCell="F2" sqref="F2"/>
    </sheetView>
  </sheetViews>
  <sheetFormatPr baseColWidth="10" defaultRowHeight="15" x14ac:dyDescent="0.25"/>
  <cols>
    <col min="1" max="1" width="28.875" customWidth="1"/>
    <col min="2" max="2" width="30.875" customWidth="1"/>
    <col min="3" max="3" width="29.875" customWidth="1"/>
    <col min="4" max="5" width="30.8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</row>
    <row r="2" spans="1:6" ht="15.75" x14ac:dyDescent="0.25">
      <c r="A2" t="s">
        <v>4</v>
      </c>
      <c r="B2" t="s">
        <v>5</v>
      </c>
      <c r="C2" s="1" t="s">
        <v>90</v>
      </c>
      <c r="D2" s="1" t="s">
        <v>164</v>
      </c>
      <c r="E2" t="s">
        <v>163</v>
      </c>
      <c r="F2" t="str">
        <f t="shared" ref="F2:F55" si="0">_xlfn.CONCAT(D2,E2)</f>
        <v>INTEGER,,</v>
      </c>
    </row>
    <row r="3" spans="1:6" ht="15.75" x14ac:dyDescent="0.25">
      <c r="A3" t="s">
        <v>6</v>
      </c>
      <c r="B3" t="s">
        <v>7</v>
      </c>
      <c r="C3" s="1" t="s">
        <v>91</v>
      </c>
      <c r="D3" s="1" t="s">
        <v>165</v>
      </c>
      <c r="E3" t="s">
        <v>163</v>
      </c>
      <c r="F3" t="str">
        <f t="shared" si="0"/>
        <v>TEXT,,</v>
      </c>
    </row>
    <row r="4" spans="1:6" ht="15.75" x14ac:dyDescent="0.25">
      <c r="A4" t="s">
        <v>8</v>
      </c>
      <c r="B4" t="s">
        <v>9</v>
      </c>
      <c r="C4" s="1" t="s">
        <v>92</v>
      </c>
      <c r="D4" s="1" t="s">
        <v>165</v>
      </c>
      <c r="E4" t="s">
        <v>163</v>
      </c>
      <c r="F4" t="str">
        <f t="shared" si="0"/>
        <v>TEXT,,</v>
      </c>
    </row>
    <row r="5" spans="1:6" ht="15.75" x14ac:dyDescent="0.25">
      <c r="A5" t="s">
        <v>10</v>
      </c>
      <c r="B5" t="s">
        <v>11</v>
      </c>
      <c r="C5" s="1" t="s">
        <v>93</v>
      </c>
      <c r="D5" s="1" t="s">
        <v>165</v>
      </c>
      <c r="E5" t="s">
        <v>163</v>
      </c>
      <c r="F5" t="str">
        <f t="shared" si="0"/>
        <v>TEXT,,</v>
      </c>
    </row>
    <row r="6" spans="1:6" ht="15.75" x14ac:dyDescent="0.25">
      <c r="A6" t="s">
        <v>12</v>
      </c>
      <c r="B6" t="s">
        <v>13</v>
      </c>
      <c r="C6" s="1" t="s">
        <v>94</v>
      </c>
      <c r="D6" s="1" t="s">
        <v>165</v>
      </c>
      <c r="E6" t="s">
        <v>163</v>
      </c>
      <c r="F6" t="str">
        <f t="shared" si="0"/>
        <v>TEXT,,</v>
      </c>
    </row>
    <row r="7" spans="1:6" ht="15.75" x14ac:dyDescent="0.25">
      <c r="A7" t="s">
        <v>14</v>
      </c>
      <c r="B7" t="s">
        <v>15</v>
      </c>
      <c r="C7" s="1" t="s">
        <v>95</v>
      </c>
      <c r="D7" s="1" t="s">
        <v>164</v>
      </c>
      <c r="E7" t="s">
        <v>163</v>
      </c>
      <c r="F7" t="str">
        <f t="shared" si="0"/>
        <v>INTEGER,,</v>
      </c>
    </row>
    <row r="8" spans="1:6" ht="15.75" x14ac:dyDescent="0.25">
      <c r="A8" t="s">
        <v>16</v>
      </c>
      <c r="B8" t="s">
        <v>13</v>
      </c>
      <c r="C8" s="1" t="s">
        <v>96</v>
      </c>
      <c r="D8" s="1" t="s">
        <v>165</v>
      </c>
      <c r="E8" t="s">
        <v>163</v>
      </c>
      <c r="F8" t="str">
        <f t="shared" si="0"/>
        <v>TEXT,,</v>
      </c>
    </row>
    <row r="9" spans="1:6" ht="15.75" x14ac:dyDescent="0.25">
      <c r="A9" t="s">
        <v>17</v>
      </c>
      <c r="B9" t="s">
        <v>18</v>
      </c>
      <c r="C9" s="1" t="s">
        <v>97</v>
      </c>
      <c r="D9" s="1" t="s">
        <v>164</v>
      </c>
      <c r="E9" t="s">
        <v>163</v>
      </c>
      <c r="F9" t="str">
        <f t="shared" si="0"/>
        <v>INTEGER,,</v>
      </c>
    </row>
    <row r="10" spans="1:6" ht="15.75" x14ac:dyDescent="0.25">
      <c r="A10" t="s">
        <v>19</v>
      </c>
      <c r="B10" t="s">
        <v>20</v>
      </c>
      <c r="C10" s="1" t="s">
        <v>98</v>
      </c>
      <c r="D10" s="1" t="s">
        <v>166</v>
      </c>
      <c r="E10" t="s">
        <v>163</v>
      </c>
      <c r="F10" t="str">
        <f t="shared" si="0"/>
        <v>BLOB,,</v>
      </c>
    </row>
    <row r="11" spans="1:6" ht="15.75" x14ac:dyDescent="0.25">
      <c r="A11" t="s">
        <v>21</v>
      </c>
      <c r="B11" t="s">
        <v>13</v>
      </c>
      <c r="C11" s="1" t="s">
        <v>99</v>
      </c>
      <c r="D11" s="1" t="s">
        <v>165</v>
      </c>
      <c r="E11" t="s">
        <v>163</v>
      </c>
      <c r="F11" t="str">
        <f t="shared" si="0"/>
        <v>TEXT,,</v>
      </c>
    </row>
    <row r="12" spans="1:6" ht="15.75" x14ac:dyDescent="0.25">
      <c r="A12" t="s">
        <v>22</v>
      </c>
      <c r="B12" t="s">
        <v>13</v>
      </c>
      <c r="C12" s="1" t="s">
        <v>100</v>
      </c>
      <c r="D12" s="1" t="s">
        <v>165</v>
      </c>
      <c r="E12" t="s">
        <v>163</v>
      </c>
      <c r="F12" t="str">
        <f t="shared" si="0"/>
        <v>TEXT,,</v>
      </c>
    </row>
    <row r="13" spans="1:6" ht="15.75" x14ac:dyDescent="0.25">
      <c r="A13" t="s">
        <v>23</v>
      </c>
      <c r="B13" t="s">
        <v>13</v>
      </c>
      <c r="C13" s="1" t="s">
        <v>101</v>
      </c>
      <c r="D13" s="1" t="s">
        <v>165</v>
      </c>
      <c r="E13" t="s">
        <v>163</v>
      </c>
      <c r="F13" t="str">
        <f t="shared" si="0"/>
        <v>TEXT,,</v>
      </c>
    </row>
    <row r="14" spans="1:6" ht="15.75" x14ac:dyDescent="0.25">
      <c r="A14" t="s">
        <v>24</v>
      </c>
      <c r="B14" t="s">
        <v>13</v>
      </c>
      <c r="C14" s="1" t="s">
        <v>102</v>
      </c>
      <c r="D14" s="1" t="s">
        <v>165</v>
      </c>
      <c r="E14" t="s">
        <v>163</v>
      </c>
      <c r="F14" t="str">
        <f t="shared" si="0"/>
        <v>TEXT,,</v>
      </c>
    </row>
    <row r="15" spans="1:6" ht="15.75" x14ac:dyDescent="0.25">
      <c r="A15" t="s">
        <v>25</v>
      </c>
      <c r="B15" t="s">
        <v>13</v>
      </c>
      <c r="C15" s="1" t="s">
        <v>103</v>
      </c>
      <c r="D15" s="1" t="s">
        <v>165</v>
      </c>
      <c r="E15" t="s">
        <v>163</v>
      </c>
      <c r="F15" t="str">
        <f t="shared" si="0"/>
        <v>TEXT,,</v>
      </c>
    </row>
    <row r="16" spans="1:6" ht="15.75" x14ac:dyDescent="0.25">
      <c r="A16" t="s">
        <v>26</v>
      </c>
      <c r="B16" t="s">
        <v>13</v>
      </c>
      <c r="C16" s="1" t="s">
        <v>104</v>
      </c>
      <c r="D16" s="1" t="s">
        <v>165</v>
      </c>
      <c r="E16" t="s">
        <v>163</v>
      </c>
      <c r="F16" t="str">
        <f t="shared" si="0"/>
        <v>TEXT,,</v>
      </c>
    </row>
    <row r="17" spans="1:6" ht="15.75" x14ac:dyDescent="0.25">
      <c r="A17" t="s">
        <v>27</v>
      </c>
      <c r="B17" t="s">
        <v>28</v>
      </c>
      <c r="C17" s="1" t="s">
        <v>105</v>
      </c>
      <c r="D17" s="1" t="s">
        <v>167</v>
      </c>
      <c r="E17" t="s">
        <v>163</v>
      </c>
      <c r="F17" t="str">
        <f t="shared" si="0"/>
        <v>REAL,,</v>
      </c>
    </row>
    <row r="18" spans="1:6" ht="15.75" x14ac:dyDescent="0.25">
      <c r="A18" t="s">
        <v>29</v>
      </c>
      <c r="B18" t="s">
        <v>13</v>
      </c>
      <c r="C18" s="1" t="s">
        <v>106</v>
      </c>
      <c r="D18" s="1" t="s">
        <v>165</v>
      </c>
      <c r="E18" t="s">
        <v>163</v>
      </c>
      <c r="F18" t="str">
        <f t="shared" si="0"/>
        <v>TEXT,,</v>
      </c>
    </row>
    <row r="19" spans="1:6" ht="15.75" x14ac:dyDescent="0.25">
      <c r="A19" t="s">
        <v>30</v>
      </c>
      <c r="B19" t="s">
        <v>13</v>
      </c>
      <c r="C19" s="1" t="s">
        <v>107</v>
      </c>
      <c r="D19" s="1" t="s">
        <v>165</v>
      </c>
      <c r="E19" t="s">
        <v>163</v>
      </c>
      <c r="F19" t="str">
        <f t="shared" si="0"/>
        <v>TEXT,,</v>
      </c>
    </row>
    <row r="20" spans="1:6" ht="15.75" x14ac:dyDescent="0.25">
      <c r="A20" t="s">
        <v>31</v>
      </c>
      <c r="B20" t="s">
        <v>15</v>
      </c>
      <c r="C20" s="1" t="s">
        <v>108</v>
      </c>
      <c r="D20" s="1" t="s">
        <v>164</v>
      </c>
      <c r="E20" t="s">
        <v>163</v>
      </c>
      <c r="F20" t="str">
        <f t="shared" si="0"/>
        <v>INTEGER,,</v>
      </c>
    </row>
    <row r="21" spans="1:6" ht="15.75" x14ac:dyDescent="0.25">
      <c r="A21" t="s">
        <v>32</v>
      </c>
      <c r="B21" t="s">
        <v>28</v>
      </c>
      <c r="C21" s="1" t="s">
        <v>109</v>
      </c>
      <c r="D21" s="1" t="s">
        <v>167</v>
      </c>
      <c r="E21" t="s">
        <v>163</v>
      </c>
      <c r="F21" t="str">
        <f t="shared" si="0"/>
        <v>REAL,,</v>
      </c>
    </row>
    <row r="22" spans="1:6" ht="15.75" x14ac:dyDescent="0.25">
      <c r="A22" t="s">
        <v>33</v>
      </c>
      <c r="B22" t="s">
        <v>18</v>
      </c>
      <c r="C22" s="1" t="s">
        <v>110</v>
      </c>
      <c r="D22" s="1" t="s">
        <v>164</v>
      </c>
      <c r="E22" t="s">
        <v>163</v>
      </c>
      <c r="F22" t="str">
        <f t="shared" si="0"/>
        <v>INTEGER,,</v>
      </c>
    </row>
    <row r="23" spans="1:6" ht="15.75" x14ac:dyDescent="0.25">
      <c r="A23" t="s">
        <v>34</v>
      </c>
      <c r="B23" t="s">
        <v>28</v>
      </c>
      <c r="C23" s="1" t="s">
        <v>111</v>
      </c>
      <c r="D23" s="1" t="s">
        <v>167</v>
      </c>
      <c r="E23" t="s">
        <v>163</v>
      </c>
      <c r="F23" t="str">
        <f t="shared" si="0"/>
        <v>REAL,,</v>
      </c>
    </row>
    <row r="24" spans="1:6" ht="15.75" x14ac:dyDescent="0.25">
      <c r="A24" t="s">
        <v>35</v>
      </c>
      <c r="B24" t="s">
        <v>18</v>
      </c>
      <c r="C24" s="1" t="s">
        <v>112</v>
      </c>
      <c r="D24" s="1" t="s">
        <v>164</v>
      </c>
      <c r="E24" t="s">
        <v>163</v>
      </c>
      <c r="F24" t="str">
        <f t="shared" si="0"/>
        <v>INTEGER,,</v>
      </c>
    </row>
    <row r="25" spans="1:6" ht="15.75" x14ac:dyDescent="0.25">
      <c r="A25" t="s">
        <v>36</v>
      </c>
      <c r="B25" t="s">
        <v>18</v>
      </c>
      <c r="C25" s="1" t="s">
        <v>113</v>
      </c>
      <c r="D25" s="1" t="s">
        <v>164</v>
      </c>
      <c r="E25" t="s">
        <v>163</v>
      </c>
      <c r="F25" t="str">
        <f t="shared" si="0"/>
        <v>INTEGER,,</v>
      </c>
    </row>
    <row r="26" spans="1:6" ht="15.75" x14ac:dyDescent="0.25">
      <c r="A26" t="s">
        <v>37</v>
      </c>
      <c r="B26" t="s">
        <v>38</v>
      </c>
      <c r="C26" s="1" t="s">
        <v>114</v>
      </c>
      <c r="D26" s="1" t="s">
        <v>164</v>
      </c>
      <c r="E26" t="s">
        <v>163</v>
      </c>
      <c r="F26" t="str">
        <f t="shared" si="0"/>
        <v>INTEGER,,</v>
      </c>
    </row>
    <row r="27" spans="1:6" ht="15.75" x14ac:dyDescent="0.25">
      <c r="A27" t="s">
        <v>39</v>
      </c>
      <c r="B27" t="s">
        <v>13</v>
      </c>
      <c r="C27" s="1" t="s">
        <v>115</v>
      </c>
      <c r="D27" s="1" t="s">
        <v>165</v>
      </c>
      <c r="E27" t="s">
        <v>163</v>
      </c>
      <c r="F27" t="str">
        <f t="shared" si="0"/>
        <v>TEXT,,</v>
      </c>
    </row>
    <row r="28" spans="1:6" ht="15.75" x14ac:dyDescent="0.25">
      <c r="A28" t="s">
        <v>40</v>
      </c>
      <c r="B28" t="s">
        <v>13</v>
      </c>
      <c r="C28" s="1" t="s">
        <v>116</v>
      </c>
      <c r="D28" s="1" t="s">
        <v>165</v>
      </c>
      <c r="E28" t="s">
        <v>163</v>
      </c>
      <c r="F28" t="str">
        <f t="shared" si="0"/>
        <v>TEXT,,</v>
      </c>
    </row>
    <row r="29" spans="1:6" ht="15.75" x14ac:dyDescent="0.25">
      <c r="A29" t="s">
        <v>41</v>
      </c>
      <c r="B29" t="s">
        <v>15</v>
      </c>
      <c r="C29" s="1" t="s">
        <v>117</v>
      </c>
      <c r="D29" s="1" t="s">
        <v>164</v>
      </c>
      <c r="E29" t="s">
        <v>163</v>
      </c>
      <c r="F29" t="str">
        <f t="shared" si="0"/>
        <v>INTEGER,,</v>
      </c>
    </row>
    <row r="30" spans="1:6" ht="15.75" x14ac:dyDescent="0.25">
      <c r="A30" t="s">
        <v>42</v>
      </c>
      <c r="B30" t="s">
        <v>15</v>
      </c>
      <c r="C30" s="1" t="s">
        <v>118</v>
      </c>
      <c r="D30" s="1" t="s">
        <v>164</v>
      </c>
      <c r="E30" t="s">
        <v>163</v>
      </c>
      <c r="F30" t="str">
        <f t="shared" si="0"/>
        <v>INTEGER,,</v>
      </c>
    </row>
    <row r="31" spans="1:6" ht="15.75" x14ac:dyDescent="0.25">
      <c r="A31" t="s">
        <v>43</v>
      </c>
      <c r="B31" t="s">
        <v>15</v>
      </c>
      <c r="C31" s="1" t="s">
        <v>119</v>
      </c>
      <c r="D31" s="1" t="s">
        <v>164</v>
      </c>
      <c r="E31" t="s">
        <v>163</v>
      </c>
      <c r="F31" t="str">
        <f t="shared" si="0"/>
        <v>INTEGER,,</v>
      </c>
    </row>
    <row r="32" spans="1:6" ht="15.75" x14ac:dyDescent="0.25">
      <c r="A32" t="s">
        <v>44</v>
      </c>
      <c r="B32" t="s">
        <v>15</v>
      </c>
      <c r="C32" s="1" t="s">
        <v>120</v>
      </c>
      <c r="D32" s="1" t="s">
        <v>164</v>
      </c>
      <c r="E32" t="s">
        <v>163</v>
      </c>
      <c r="F32" t="str">
        <f t="shared" si="0"/>
        <v>INTEGER,,</v>
      </c>
    </row>
    <row r="33" spans="1:6" ht="15.75" x14ac:dyDescent="0.25">
      <c r="A33" t="s">
        <v>45</v>
      </c>
      <c r="B33" t="s">
        <v>38</v>
      </c>
      <c r="C33" s="1" t="s">
        <v>121</v>
      </c>
      <c r="D33" s="1" t="s">
        <v>164</v>
      </c>
      <c r="E33" t="s">
        <v>163</v>
      </c>
      <c r="F33" t="str">
        <f t="shared" si="0"/>
        <v>INTEGER,,</v>
      </c>
    </row>
    <row r="34" spans="1:6" ht="15.75" x14ac:dyDescent="0.25">
      <c r="A34" t="s">
        <v>46</v>
      </c>
      <c r="B34" t="s">
        <v>38</v>
      </c>
      <c r="C34" s="1" t="s">
        <v>122</v>
      </c>
      <c r="D34" s="1" t="s">
        <v>164</v>
      </c>
      <c r="E34" t="s">
        <v>163</v>
      </c>
      <c r="F34" t="str">
        <f t="shared" si="0"/>
        <v>INTEGER,,</v>
      </c>
    </row>
    <row r="35" spans="1:6" ht="15.75" x14ac:dyDescent="0.25">
      <c r="A35" t="s">
        <v>47</v>
      </c>
      <c r="B35" t="s">
        <v>15</v>
      </c>
      <c r="C35" s="1" t="s">
        <v>123</v>
      </c>
      <c r="D35" s="1" t="s">
        <v>164</v>
      </c>
      <c r="E35" t="s">
        <v>163</v>
      </c>
      <c r="F35" t="str">
        <f t="shared" si="0"/>
        <v>INTEGER,,</v>
      </c>
    </row>
    <row r="36" spans="1:6" ht="15.75" x14ac:dyDescent="0.25">
      <c r="A36" t="s">
        <v>48</v>
      </c>
      <c r="B36" t="s">
        <v>49</v>
      </c>
      <c r="C36" s="1" t="s">
        <v>124</v>
      </c>
      <c r="D36" s="1" t="s">
        <v>165</v>
      </c>
      <c r="E36" t="s">
        <v>163</v>
      </c>
      <c r="F36" t="str">
        <f t="shared" si="0"/>
        <v>TEXT,,</v>
      </c>
    </row>
    <row r="37" spans="1:6" ht="15.75" x14ac:dyDescent="0.25">
      <c r="A37" t="s">
        <v>50</v>
      </c>
      <c r="B37" t="s">
        <v>28</v>
      </c>
      <c r="C37" s="1" t="s">
        <v>125</v>
      </c>
      <c r="D37" s="1" t="s">
        <v>167</v>
      </c>
      <c r="E37" t="s">
        <v>163</v>
      </c>
      <c r="F37" t="str">
        <f t="shared" si="0"/>
        <v>REAL,,</v>
      </c>
    </row>
    <row r="38" spans="1:6" ht="15.75" x14ac:dyDescent="0.25">
      <c r="A38" t="s">
        <v>51</v>
      </c>
      <c r="B38" t="s">
        <v>28</v>
      </c>
      <c r="C38" s="1" t="s">
        <v>126</v>
      </c>
      <c r="D38" s="1" t="s">
        <v>167</v>
      </c>
      <c r="E38" t="s">
        <v>163</v>
      </c>
      <c r="F38" t="str">
        <f t="shared" si="0"/>
        <v>REAL,,</v>
      </c>
    </row>
    <row r="39" spans="1:6" ht="15.75" x14ac:dyDescent="0.25">
      <c r="A39" t="s">
        <v>52</v>
      </c>
      <c r="B39" t="s">
        <v>28</v>
      </c>
      <c r="C39" s="1" t="s">
        <v>127</v>
      </c>
      <c r="D39" s="1" t="s">
        <v>167</v>
      </c>
      <c r="E39" t="s">
        <v>163</v>
      </c>
      <c r="F39" t="str">
        <f t="shared" si="0"/>
        <v>REAL,,</v>
      </c>
    </row>
    <row r="40" spans="1:6" ht="15.75" x14ac:dyDescent="0.25">
      <c r="A40" t="s">
        <v>53</v>
      </c>
      <c r="B40" t="s">
        <v>15</v>
      </c>
      <c r="C40" s="1" t="s">
        <v>128</v>
      </c>
      <c r="D40" s="1" t="s">
        <v>164</v>
      </c>
      <c r="E40" t="s">
        <v>163</v>
      </c>
      <c r="F40" t="str">
        <f t="shared" si="0"/>
        <v>INTEGER,,</v>
      </c>
    </row>
    <row r="41" spans="1:6" ht="15.75" x14ac:dyDescent="0.25">
      <c r="A41" t="s">
        <v>54</v>
      </c>
      <c r="B41" t="s">
        <v>15</v>
      </c>
      <c r="C41" s="1" t="s">
        <v>129</v>
      </c>
      <c r="D41" s="1" t="s">
        <v>164</v>
      </c>
      <c r="E41" t="s">
        <v>163</v>
      </c>
      <c r="F41" t="str">
        <f t="shared" si="0"/>
        <v>INTEGER,,</v>
      </c>
    </row>
    <row r="42" spans="1:6" ht="15.75" x14ac:dyDescent="0.25">
      <c r="A42" t="s">
        <v>55</v>
      </c>
      <c r="B42" t="s">
        <v>13</v>
      </c>
      <c r="C42" s="1" t="s">
        <v>130</v>
      </c>
      <c r="D42" s="1" t="s">
        <v>165</v>
      </c>
      <c r="E42" t="s">
        <v>163</v>
      </c>
      <c r="F42" t="str">
        <f t="shared" si="0"/>
        <v>TEXT,,</v>
      </c>
    </row>
    <row r="43" spans="1:6" ht="15.75" x14ac:dyDescent="0.25">
      <c r="A43" t="s">
        <v>56</v>
      </c>
      <c r="B43" t="s">
        <v>15</v>
      </c>
      <c r="C43" s="1" t="s">
        <v>131</v>
      </c>
      <c r="D43" s="1" t="s">
        <v>164</v>
      </c>
      <c r="E43" t="s">
        <v>163</v>
      </c>
      <c r="F43" t="str">
        <f t="shared" si="0"/>
        <v>INTEGER,,</v>
      </c>
    </row>
    <row r="44" spans="1:6" ht="15.75" x14ac:dyDescent="0.25">
      <c r="A44" t="s">
        <v>57</v>
      </c>
      <c r="B44" t="s">
        <v>58</v>
      </c>
      <c r="C44" s="1" t="s">
        <v>132</v>
      </c>
      <c r="D44" s="1" t="s">
        <v>165</v>
      </c>
      <c r="E44" t="s">
        <v>163</v>
      </c>
      <c r="F44" t="str">
        <f t="shared" si="0"/>
        <v>TEXT,,</v>
      </c>
    </row>
    <row r="45" spans="1:6" ht="15.75" x14ac:dyDescent="0.25">
      <c r="A45" t="s">
        <v>59</v>
      </c>
      <c r="B45" t="s">
        <v>58</v>
      </c>
      <c r="C45" s="1" t="s">
        <v>133</v>
      </c>
      <c r="D45" s="1" t="s">
        <v>165</v>
      </c>
      <c r="E45" t="s">
        <v>163</v>
      </c>
      <c r="F45" t="str">
        <f t="shared" si="0"/>
        <v>TEXT,,</v>
      </c>
    </row>
    <row r="46" spans="1:6" ht="15.75" x14ac:dyDescent="0.25">
      <c r="A46" t="s">
        <v>60</v>
      </c>
      <c r="B46" t="s">
        <v>15</v>
      </c>
      <c r="C46" s="1" t="s">
        <v>134</v>
      </c>
      <c r="D46" s="1" t="s">
        <v>164</v>
      </c>
      <c r="E46" t="s">
        <v>163</v>
      </c>
      <c r="F46" t="str">
        <f t="shared" si="0"/>
        <v>INTEGER,,</v>
      </c>
    </row>
    <row r="47" spans="1:6" ht="15.75" x14ac:dyDescent="0.25">
      <c r="A47" t="s">
        <v>61</v>
      </c>
      <c r="B47" t="s">
        <v>58</v>
      </c>
      <c r="C47" s="1" t="s">
        <v>135</v>
      </c>
      <c r="D47" s="1" t="s">
        <v>165</v>
      </c>
      <c r="E47" t="s">
        <v>163</v>
      </c>
      <c r="F47" t="str">
        <f t="shared" si="0"/>
        <v>TEXT,,</v>
      </c>
    </row>
    <row r="48" spans="1:6" ht="15.75" x14ac:dyDescent="0.25">
      <c r="A48" t="s">
        <v>62</v>
      </c>
      <c r="B48" t="s">
        <v>38</v>
      </c>
      <c r="C48" s="1" t="s">
        <v>136</v>
      </c>
      <c r="D48" s="1" t="s">
        <v>164</v>
      </c>
      <c r="E48" t="s">
        <v>163</v>
      </c>
      <c r="F48" t="str">
        <f t="shared" si="0"/>
        <v>INTEGER,,</v>
      </c>
    </row>
    <row r="49" spans="1:6" ht="15.75" x14ac:dyDescent="0.25">
      <c r="A49" t="s">
        <v>63</v>
      </c>
      <c r="B49" t="s">
        <v>28</v>
      </c>
      <c r="C49" s="1" t="s">
        <v>137</v>
      </c>
      <c r="D49" s="1" t="s">
        <v>167</v>
      </c>
      <c r="E49" t="s">
        <v>163</v>
      </c>
      <c r="F49" t="str">
        <f t="shared" si="0"/>
        <v>REAL,,</v>
      </c>
    </row>
    <row r="50" spans="1:6" ht="15.75" x14ac:dyDescent="0.25">
      <c r="A50" t="s">
        <v>64</v>
      </c>
      <c r="B50" t="s">
        <v>28</v>
      </c>
      <c r="C50" s="1" t="s">
        <v>138</v>
      </c>
      <c r="D50" s="1" t="s">
        <v>167</v>
      </c>
      <c r="E50" t="s">
        <v>163</v>
      </c>
      <c r="F50" t="str">
        <f t="shared" si="0"/>
        <v>REAL,,</v>
      </c>
    </row>
    <row r="51" spans="1:6" ht="15.75" x14ac:dyDescent="0.25">
      <c r="A51" t="s">
        <v>65</v>
      </c>
      <c r="B51" t="s">
        <v>28</v>
      </c>
      <c r="C51" s="1" t="s">
        <v>139</v>
      </c>
      <c r="D51" s="1" t="s">
        <v>167</v>
      </c>
      <c r="E51" t="s">
        <v>163</v>
      </c>
      <c r="F51" t="str">
        <f t="shared" si="0"/>
        <v>REAL,,</v>
      </c>
    </row>
    <row r="52" spans="1:6" ht="15.75" x14ac:dyDescent="0.25">
      <c r="A52" t="s">
        <v>66</v>
      </c>
      <c r="B52" t="s">
        <v>28</v>
      </c>
      <c r="C52" s="1" t="s">
        <v>140</v>
      </c>
      <c r="D52" s="1" t="s">
        <v>167</v>
      </c>
      <c r="E52" t="s">
        <v>163</v>
      </c>
      <c r="F52" t="str">
        <f t="shared" si="0"/>
        <v>REAL,,</v>
      </c>
    </row>
    <row r="53" spans="1:6" ht="15.75" x14ac:dyDescent="0.25">
      <c r="A53" t="s">
        <v>67</v>
      </c>
      <c r="B53" t="s">
        <v>28</v>
      </c>
      <c r="C53" s="1" t="s">
        <v>141</v>
      </c>
      <c r="D53" s="1" t="s">
        <v>167</v>
      </c>
      <c r="E53" t="s">
        <v>163</v>
      </c>
      <c r="F53" t="str">
        <f t="shared" si="0"/>
        <v>REAL,,</v>
      </c>
    </row>
    <row r="54" spans="1:6" ht="15.75" x14ac:dyDescent="0.25">
      <c r="A54" t="s">
        <v>68</v>
      </c>
      <c r="B54" t="s">
        <v>28</v>
      </c>
      <c r="C54" s="1" t="s">
        <v>142</v>
      </c>
      <c r="D54" s="1" t="s">
        <v>167</v>
      </c>
      <c r="E54" t="s">
        <v>163</v>
      </c>
      <c r="F54" t="str">
        <f t="shared" si="0"/>
        <v>REAL,,</v>
      </c>
    </row>
    <row r="55" spans="1:6" ht="15.75" x14ac:dyDescent="0.25">
      <c r="A55" t="s">
        <v>69</v>
      </c>
      <c r="B55" t="s">
        <v>15</v>
      </c>
      <c r="C55" s="1" t="s">
        <v>143</v>
      </c>
      <c r="D55" s="1" t="s">
        <v>164</v>
      </c>
      <c r="E55" t="s">
        <v>163</v>
      </c>
      <c r="F55" t="str">
        <f t="shared" si="0"/>
        <v>INTEGER,,</v>
      </c>
    </row>
    <row r="56" spans="1:6" ht="15.75" x14ac:dyDescent="0.25">
      <c r="A56" t="s">
        <v>70</v>
      </c>
      <c r="B56" t="s">
        <v>15</v>
      </c>
      <c r="C56" s="1" t="s">
        <v>144</v>
      </c>
      <c r="D56" s="1" t="s">
        <v>164</v>
      </c>
      <c r="E56" t="s">
        <v>163</v>
      </c>
      <c r="F56" t="str">
        <f t="shared" ref="F55:F73" si="1">_xlfn.CONCAT(D56,E56)</f>
        <v>INTEGER,,</v>
      </c>
    </row>
    <row r="57" spans="1:6" ht="15.75" x14ac:dyDescent="0.25">
      <c r="A57" t="s">
        <v>71</v>
      </c>
      <c r="B57" t="s">
        <v>15</v>
      </c>
      <c r="C57" s="1" t="s">
        <v>145</v>
      </c>
      <c r="D57" s="1" t="s">
        <v>164</v>
      </c>
      <c r="E57" t="s">
        <v>163</v>
      </c>
      <c r="F57" t="str">
        <f t="shared" si="1"/>
        <v>INTEGER,,</v>
      </c>
    </row>
    <row r="58" spans="1:6" ht="15.75" x14ac:dyDescent="0.25">
      <c r="A58" t="s">
        <v>72</v>
      </c>
      <c r="B58" t="s">
        <v>15</v>
      </c>
      <c r="C58" s="1" t="s">
        <v>146</v>
      </c>
      <c r="D58" s="1" t="s">
        <v>164</v>
      </c>
      <c r="E58" t="s">
        <v>163</v>
      </c>
      <c r="F58" t="str">
        <f t="shared" si="1"/>
        <v>INTEGER,,</v>
      </c>
    </row>
    <row r="59" spans="1:6" ht="15.75" x14ac:dyDescent="0.25">
      <c r="A59" t="s">
        <v>73</v>
      </c>
      <c r="B59" t="s">
        <v>15</v>
      </c>
      <c r="C59" s="1" t="s">
        <v>147</v>
      </c>
      <c r="D59" s="1" t="s">
        <v>164</v>
      </c>
      <c r="E59" t="s">
        <v>163</v>
      </c>
      <c r="F59" t="str">
        <f t="shared" si="1"/>
        <v>INTEGER,,</v>
      </c>
    </row>
    <row r="60" spans="1:6" ht="15.75" x14ac:dyDescent="0.25">
      <c r="A60" t="s">
        <v>74</v>
      </c>
      <c r="B60" t="s">
        <v>15</v>
      </c>
      <c r="C60" s="1" t="s">
        <v>148</v>
      </c>
      <c r="D60" s="1" t="s">
        <v>164</v>
      </c>
      <c r="E60" t="s">
        <v>163</v>
      </c>
      <c r="F60" t="str">
        <f t="shared" si="1"/>
        <v>INTEGER,,</v>
      </c>
    </row>
    <row r="61" spans="1:6" ht="15.75" x14ac:dyDescent="0.25">
      <c r="A61" t="s">
        <v>75</v>
      </c>
      <c r="B61" t="s">
        <v>15</v>
      </c>
      <c r="C61" s="1" t="s">
        <v>149</v>
      </c>
      <c r="D61" s="1" t="s">
        <v>164</v>
      </c>
      <c r="E61" t="s">
        <v>163</v>
      </c>
      <c r="F61" t="str">
        <f t="shared" si="1"/>
        <v>INTEGER,,</v>
      </c>
    </row>
    <row r="62" spans="1:6" ht="15.75" x14ac:dyDescent="0.25">
      <c r="A62" t="s">
        <v>76</v>
      </c>
      <c r="B62" t="s">
        <v>15</v>
      </c>
      <c r="C62" s="1" t="s">
        <v>150</v>
      </c>
      <c r="D62" s="1" t="s">
        <v>164</v>
      </c>
      <c r="E62" t="s">
        <v>163</v>
      </c>
      <c r="F62" t="str">
        <f t="shared" si="1"/>
        <v>INTEGER,,</v>
      </c>
    </row>
    <row r="63" spans="1:6" ht="15.75" x14ac:dyDescent="0.25">
      <c r="A63" t="s">
        <v>77</v>
      </c>
      <c r="B63" t="s">
        <v>15</v>
      </c>
      <c r="C63" s="1" t="s">
        <v>151</v>
      </c>
      <c r="D63" s="1" t="s">
        <v>164</v>
      </c>
      <c r="E63" t="s">
        <v>163</v>
      </c>
      <c r="F63" t="str">
        <f t="shared" si="1"/>
        <v>INTEGER,,</v>
      </c>
    </row>
    <row r="64" spans="1:6" ht="15.75" x14ac:dyDescent="0.25">
      <c r="A64" t="s">
        <v>78</v>
      </c>
      <c r="B64" t="s">
        <v>15</v>
      </c>
      <c r="C64" s="1" t="s">
        <v>152</v>
      </c>
      <c r="D64" s="1" t="s">
        <v>164</v>
      </c>
      <c r="E64" t="s">
        <v>163</v>
      </c>
      <c r="F64" t="str">
        <f t="shared" si="1"/>
        <v>INTEGER,,</v>
      </c>
    </row>
    <row r="65" spans="1:6" ht="15.75" x14ac:dyDescent="0.25">
      <c r="A65" t="s">
        <v>79</v>
      </c>
      <c r="B65" t="s">
        <v>15</v>
      </c>
      <c r="C65" s="1" t="s">
        <v>153</v>
      </c>
      <c r="D65" s="1" t="s">
        <v>164</v>
      </c>
      <c r="E65" t="s">
        <v>163</v>
      </c>
      <c r="F65" t="str">
        <f t="shared" si="1"/>
        <v>INTEGER,,</v>
      </c>
    </row>
    <row r="66" spans="1:6" ht="15.75" x14ac:dyDescent="0.25">
      <c r="A66" t="s">
        <v>80</v>
      </c>
      <c r="B66" t="s">
        <v>15</v>
      </c>
      <c r="C66" s="1" t="s">
        <v>154</v>
      </c>
      <c r="D66" s="1" t="s">
        <v>164</v>
      </c>
      <c r="E66" t="s">
        <v>163</v>
      </c>
      <c r="F66" t="str">
        <f t="shared" si="1"/>
        <v>INTEGER,,</v>
      </c>
    </row>
    <row r="67" spans="1:6" ht="15.75" x14ac:dyDescent="0.25">
      <c r="A67" t="s">
        <v>81</v>
      </c>
      <c r="B67" t="s">
        <v>15</v>
      </c>
      <c r="C67" s="1" t="s">
        <v>155</v>
      </c>
      <c r="D67" s="1" t="s">
        <v>164</v>
      </c>
      <c r="E67" t="s">
        <v>163</v>
      </c>
      <c r="F67" t="str">
        <f t="shared" si="1"/>
        <v>INTEGER,,</v>
      </c>
    </row>
    <row r="68" spans="1:6" ht="15.75" x14ac:dyDescent="0.25">
      <c r="A68" t="s">
        <v>82</v>
      </c>
      <c r="B68" t="s">
        <v>15</v>
      </c>
      <c r="C68" s="1" t="s">
        <v>156</v>
      </c>
      <c r="D68" s="1" t="s">
        <v>164</v>
      </c>
      <c r="E68" t="s">
        <v>163</v>
      </c>
      <c r="F68" t="str">
        <f t="shared" si="1"/>
        <v>INTEGER,,</v>
      </c>
    </row>
    <row r="69" spans="1:6" ht="15.75" x14ac:dyDescent="0.25">
      <c r="A69" t="s">
        <v>83</v>
      </c>
      <c r="B69" t="s">
        <v>15</v>
      </c>
      <c r="C69" s="1" t="s">
        <v>157</v>
      </c>
      <c r="D69" s="1" t="s">
        <v>164</v>
      </c>
      <c r="E69" t="s">
        <v>163</v>
      </c>
      <c r="F69" t="str">
        <f t="shared" si="1"/>
        <v>INTEGER,,</v>
      </c>
    </row>
    <row r="70" spans="1:6" ht="15.75" x14ac:dyDescent="0.25">
      <c r="A70" t="s">
        <v>84</v>
      </c>
      <c r="B70" t="s">
        <v>15</v>
      </c>
      <c r="C70" s="1" t="s">
        <v>158</v>
      </c>
      <c r="D70" s="1" t="s">
        <v>164</v>
      </c>
      <c r="E70" t="s">
        <v>163</v>
      </c>
      <c r="F70" t="str">
        <f t="shared" si="1"/>
        <v>INTEGER,,</v>
      </c>
    </row>
    <row r="71" spans="1:6" ht="15.75" x14ac:dyDescent="0.25">
      <c r="A71" t="s">
        <v>85</v>
      </c>
      <c r="B71" t="s">
        <v>28</v>
      </c>
      <c r="C71" s="1" t="s">
        <v>159</v>
      </c>
      <c r="D71" s="1" t="s">
        <v>167</v>
      </c>
      <c r="E71" t="s">
        <v>163</v>
      </c>
      <c r="F71" t="str">
        <f t="shared" si="1"/>
        <v>REAL,,</v>
      </c>
    </row>
    <row r="72" spans="1:6" ht="15.75" x14ac:dyDescent="0.25">
      <c r="A72" t="s">
        <v>86</v>
      </c>
      <c r="B72" t="s">
        <v>13</v>
      </c>
      <c r="C72" s="1" t="s">
        <v>160</v>
      </c>
      <c r="D72" s="1" t="s">
        <v>165</v>
      </c>
      <c r="E72" t="s">
        <v>163</v>
      </c>
      <c r="F72" t="str">
        <f t="shared" si="1"/>
        <v>TEXT,,</v>
      </c>
    </row>
    <row r="73" spans="1:6" ht="15.75" x14ac:dyDescent="0.25">
      <c r="A73" t="s">
        <v>87</v>
      </c>
      <c r="B73" t="s">
        <v>15</v>
      </c>
      <c r="C73" s="1" t="s">
        <v>161</v>
      </c>
      <c r="D73" s="1" t="s">
        <v>164</v>
      </c>
      <c r="E73" t="s">
        <v>163</v>
      </c>
      <c r="F73" t="str">
        <f t="shared" si="1"/>
        <v>INTEGER,,</v>
      </c>
    </row>
    <row r="74" spans="1:6" ht="15.75" x14ac:dyDescent="0.25">
      <c r="A74" t="s">
        <v>88</v>
      </c>
      <c r="B74" t="s">
        <v>89</v>
      </c>
      <c r="C74" s="1" t="s">
        <v>162</v>
      </c>
      <c r="D74" s="1" t="s">
        <v>165</v>
      </c>
      <c r="E74" t="s">
        <v>163</v>
      </c>
      <c r="F74" t="str">
        <f>_xlfn.CONCAT(D74,E74)</f>
        <v>TEXT,,</v>
      </c>
    </row>
  </sheetData>
  <pageMargins left="0.7" right="0.7" top="0.75" bottom="0.75" header="0.3" footer="0.3"/>
  <ignoredErrors>
    <ignoredError sqref="A1:D1 A3:B74 A2: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Ernesto Páez Mujica</cp:lastModifiedBy>
  <dcterms:modified xsi:type="dcterms:W3CDTF">2026-06-11T16:14:40Z</dcterms:modified>
</cp:coreProperties>
</file>